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Bug Reports" sheetId="1" r:id="rId1"/>
    <sheet name="Summary" sheetId="2" r:id="rId2"/>
    <sheet name="Evidence" sheetId="3" r:id="rId3"/>
  </sheets>
  <definedNames>
    <definedName name="_xlnm._FilterDatabase" localSheetId="0" hidden="1">'Bug Reports'!$A$1:$L$8</definedName>
  </definedName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2"/>
  <c r="B23"/>
  <c r="B22"/>
  <c r="B21"/>
  <c r="B20"/>
  <c r="B19"/>
  <c r="B14"/>
  <c r="B13"/>
  <c r="B12"/>
  <c r="B11"/>
  <c r="B10"/>
  <c r="B6"/>
  <c r="B5"/>
  <c r="B4"/>
  <c r="B25" l="1"/>
  <c r="B7"/>
</calcChain>
</file>

<file path=xl/sharedStrings.xml><?xml version="1.0" encoding="utf-8"?>
<sst xmlns="http://schemas.openxmlformats.org/spreadsheetml/2006/main" count="138" uniqueCount="100">
  <si>
    <t>Bug ID</t>
  </si>
  <si>
    <t>Linked Test Case</t>
  </si>
  <si>
    <t>Module</t>
  </si>
  <si>
    <t>Title</t>
  </si>
  <si>
    <t>Severity</t>
  </si>
  <si>
    <t>Priority</t>
  </si>
  <si>
    <t>Steps to Reproduce</t>
  </si>
  <si>
    <t>Expected Result</t>
  </si>
  <si>
    <t>Actual Result</t>
  </si>
  <si>
    <t>Environment</t>
  </si>
  <si>
    <t>Status</t>
  </si>
  <si>
    <t>Screenshot / Video</t>
  </si>
  <si>
    <t>BUG-01</t>
  </si>
  <si>
    <t>TC11</t>
  </si>
  <si>
    <t>Home / Approvals</t>
  </si>
  <si>
    <t>Pending approval count is inconsistent across screens</t>
  </si>
  <si>
    <t>High</t>
  </si>
  <si>
    <t>P1</t>
  </si>
  <si>
    <t>1. Log in as admin.
2. On Home, note the 'Needs you' card (8 approvals waiting).
3. Note the badge on the Approvals bottom-nav icon.
4. Open Approvals and view the Reg. tab count.</t>
  </si>
  <si>
    <t>The same pending count is shown on Home, the nav badge and the Approvals tab.</t>
  </si>
  <si>
    <t>Home shows 8 (0 leave · 8 corrections); nav badge shows 5; Reg. tab shows 5.</t>
  </si>
  <si>
    <t>Kredily Android APK v2 (kredily-mobile-v2.apk), real Android device, Admin account peoplekredily1@yopmail.com, 8 Oct 2026</t>
  </si>
  <si>
    <t>Open</t>
  </si>
  <si>
    <t>1 screenshot – see Evidence sheet</t>
  </si>
  <si>
    <t>BUG-02</t>
  </si>
  <si>
    <t>TC10</t>
  </si>
  <si>
    <t>Home / Attendance</t>
  </si>
  <si>
    <t>Worked time on Home does not match Attendance punch times</t>
  </si>
  <si>
    <t>Medium</t>
  </si>
  <si>
    <t>P2</t>
  </si>
  <si>
    <t>1. Clock in and clock out (punch 08:43 → 08:53).
2. On Home, read the worked time.
3. Open Attendance → Team → today and read the punch times.</t>
  </si>
  <si>
    <t>Both screens show the same duration (10 minutes).</t>
  </si>
  <si>
    <t>Home shows '5m worked'; Attendance shows 08:43 → 08:53 (10 minutes).</t>
  </si>
  <si>
    <t>2 screenshots – see Evidence sheet</t>
  </si>
  <si>
    <t>BUG-03</t>
  </si>
  <si>
    <t>TC05</t>
  </si>
  <si>
    <t>Login</t>
  </si>
  <si>
    <t>Placeholder text in Email/Mobile field is clipped</t>
  </si>
  <si>
    <t>Low</t>
  </si>
  <si>
    <t>P3</t>
  </si>
  <si>
    <t>1. Launch the app.
2. Look at the Email or Mobile input on the login screen.</t>
  </si>
  <si>
    <t>The full placeholder (email and mobile format hint) is visible inside the field.</t>
  </si>
  <si>
    <t>The second placeholder line is cut off at the bottom of the field. Reproduced on two runs.</t>
  </si>
  <si>
    <t>BUG-04</t>
  </si>
  <si>
    <t>TC16</t>
  </si>
  <si>
    <t>Attendance</t>
  </si>
  <si>
    <t>Weekday labels wrap in the date strip</t>
  </si>
  <si>
    <t>1. Log in and open Attendance.
2. Look at the week date strip (Fri 2 – Thu 8 Oct).</t>
  </si>
  <si>
    <t>Each day label ('SAT', 'SUN') is on a single line.</t>
  </si>
  <si>
    <t>'SAT' and 'SUN' wrap into 'SA/T' and 'SU/N', making those cells taller and uneven.</t>
  </si>
  <si>
    <t>BUG-05</t>
  </si>
  <si>
    <t>TC17</t>
  </si>
  <si>
    <t>Week range differs between Home and Attendance</t>
  </si>
  <si>
    <t>1. Log in; check the 'This week' strip on Home.
2. Open Attendance and check the week range (2 – 8 Oct).</t>
  </si>
  <si>
    <t>Both screens use the same week definition and start day.</t>
  </si>
  <si>
    <t>Home week runs Mon–Sun; Attendance week runs Fri–Thu.</t>
  </si>
  <si>
    <t>BUG-06</t>
  </si>
  <si>
    <t>TC08</t>
  </si>
  <si>
    <t>Home</t>
  </si>
  <si>
    <t>Shift shows zero-length window "12:30 – 12:30"; Clock In flagged "After shift · OT window"</t>
  </si>
  <si>
    <t>1. Log in as admin.
2. On Home, read the shift under the greeting.
3. Tap Clock In and read the 'Shift window' row on the Verify &amp; confirm sheet.</t>
  </si>
  <si>
    <t>A valid shift window (start earlier than end) is shown, and Clock In is evaluated against it.</t>
  </si>
  <si>
    <t>Shift reads 12:30 – 12:30. At 13:15 the Verify &amp; confirm sheet shows 'After shift · OT window'.</t>
  </si>
  <si>
    <t>BUG-07</t>
  </si>
  <si>
    <t>TC20</t>
  </si>
  <si>
    <t>Profile</t>
  </si>
  <si>
    <t>Profile header text truncated (email and "Complete your prof..")</t>
  </si>
  <si>
    <t>1. Log in and open the Profile tab.
2. Look at the email in the header card and the 'Complete your profile' banner.</t>
  </si>
  <si>
    <t>Full email address and banner heading are readable (wrapped or fully shown).</t>
  </si>
  <si>
    <t>Email shows 'peoplekredily1@yopm…' and banner heading shows 'Complete your prof..'.</t>
  </si>
  <si>
    <t>Bug Summary</t>
  </si>
  <si>
    <t>Count</t>
  </si>
  <si>
    <t>Total</t>
  </si>
  <si>
    <t>In Progress</t>
  </si>
  <si>
    <t>Fixed</t>
  </si>
  <si>
    <t>Verified</t>
  </si>
  <si>
    <t>Closed</t>
  </si>
  <si>
    <t>By module</t>
  </si>
  <si>
    <t>Bugs</t>
  </si>
  <si>
    <t>Screenshot Evidence</t>
  </si>
  <si>
    <t>BUG-01 – Pending approval count differs (Home 8 vs nav badge 5)</t>
  </si>
  <si>
    <t>Home: '8 approvals waiting' while nav badge shows 5</t>
  </si>
  <si>
    <t>BUG-02 – Worked time on Home vs Attendance</t>
  </si>
  <si>
    <t>Home: '5m worked'</t>
  </si>
  <si>
    <t>Attendance: 08:43 → 08:53</t>
  </si>
  <si>
    <t>BUG-03 – Login placeholder clipped</t>
  </si>
  <si>
    <t>Login screen (run 1)</t>
  </si>
  <si>
    <t>Login screen (run 2)</t>
  </si>
  <si>
    <t>Attendance date strip</t>
  </si>
  <si>
    <t>BUG-05 – Week range differs (Home Mon–Sun vs Attendance Fri–Thu)</t>
  </si>
  <si>
    <t>Attendance: 2 – 8 Oct, Fri–Thu</t>
  </si>
  <si>
    <t>Home: 'This week' strip</t>
  </si>
  <si>
    <t>BUG-06 – Shift shows 12:30 – 12:30; Clock In flagged "After shift · OT window"</t>
  </si>
  <si>
    <t>Verify &amp; confirm: 'After shift · OT window' (13:15)</t>
  </si>
  <si>
    <t>Home: shift 12:30 – 12:30</t>
  </si>
  <si>
    <t>BUG-07 – Profile header text truncated</t>
  </si>
  <si>
    <t>Profile: email and banner heading truncated</t>
  </si>
  <si>
    <t>https://drive.google.com/file/d/11tfT4ui8wE_o_oQERLKsigykaBs0dqbV/view?usp=drivesdk</t>
  </si>
  <si>
    <t>https://drive.google.com/file/d/10_uhLB74_SdQWSnyPas7-gxQUVdUPuU2/view?usp=drivesdk</t>
  </si>
  <si>
    <t>https://drive.google.com/file/d/1hy5w8fL6V9dCcl_rVwM0BGt-bKglZp2b/view?usp=drivesdk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</si>
</sst>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u/>
      <sz val="10"/>
      <color rgb="FF0563C1"/>
      <name val="Arial"/>
      <charset val="1"/>
    </font>
    <font>
      <b/>
      <sz val="14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  <font>
      <u/>
      <sz val="11"/>
      <color theme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3261E"/>
        <bgColor rgb="FF993366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4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5" fillId="0" borderId="0" xfId="0" applyFont="1" applyAlignment="1"/>
    <xf numFmtId="0" fontId="6" fillId="0" borderId="0" xfId="0" applyFont="1"/>
    <xf numFmtId="0" fontId="2" fillId="0" borderId="1" xfId="0" applyFont="1" applyBorder="1"/>
    <xf numFmtId="0" fontId="5" fillId="0" borderId="1" xfId="0" applyFont="1" applyBorder="1"/>
    <xf numFmtId="0" fontId="0" fillId="2" borderId="0" xfId="0" applyFill="1" applyAlignment="1"/>
    <xf numFmtId="0" fontId="7" fillId="0" borderId="0" xfId="0" applyFont="1" applyAlignment="1"/>
    <xf numFmtId="0" fontId="8" fillId="0" borderId="1" xfId="1" applyBorder="1" applyAlignment="1" applyProtection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326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160920</xdr:rowOff>
    </xdr:from>
    <xdr:to>
      <xdr:col>0</xdr:col>
      <xdr:colOff>2189880</xdr:colOff>
      <xdr:row>4</xdr:row>
      <xdr:rowOff>4836600</xdr:rowOff>
    </xdr:to>
    <xdr:pic>
      <xdr:nvPicPr>
        <xdr:cNvPr id="2" name="Image 1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761040"/>
          <a:ext cx="2189880" cy="4866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160560</xdr:rowOff>
    </xdr:from>
    <xdr:to>
      <xdr:col>0</xdr:col>
      <xdr:colOff>2189880</xdr:colOff>
      <xdr:row>8</xdr:row>
      <xdr:rowOff>4836600</xdr:rowOff>
    </xdr:to>
    <xdr:pic>
      <xdr:nvPicPr>
        <xdr:cNvPr id="3" name="Image 2" descr="Picture"/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6304320"/>
          <a:ext cx="2189880" cy="486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160560</xdr:rowOff>
    </xdr:from>
    <xdr:to>
      <xdr:col>1</xdr:col>
      <xdr:colOff>2189880</xdr:colOff>
      <xdr:row>8</xdr:row>
      <xdr:rowOff>4836600</xdr:rowOff>
    </xdr:to>
    <xdr:pic>
      <xdr:nvPicPr>
        <xdr:cNvPr id="4" name="Image 3" descr="Picture"/>
        <xdr:cNvPicPr/>
      </xdr:nvPicPr>
      <xdr:blipFill>
        <a:blip xmlns:r="http://schemas.openxmlformats.org/officeDocument/2006/relationships" r:embed="rId3"/>
        <a:stretch/>
      </xdr:blipFill>
      <xdr:spPr>
        <a:xfrm>
          <a:off x="2325960" y="6304320"/>
          <a:ext cx="2189880" cy="486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160560</xdr:rowOff>
    </xdr:from>
    <xdr:to>
      <xdr:col>0</xdr:col>
      <xdr:colOff>2189880</xdr:colOff>
      <xdr:row>12</xdr:row>
      <xdr:rowOff>4836600</xdr:rowOff>
    </xdr:to>
    <xdr:pic>
      <xdr:nvPicPr>
        <xdr:cNvPr id="5" name="Image 4" descr="Picture"/>
        <xdr:cNvPicPr/>
      </xdr:nvPicPr>
      <xdr:blipFill>
        <a:blip xmlns:r="http://schemas.openxmlformats.org/officeDocument/2006/relationships" r:embed="rId4"/>
        <a:stretch/>
      </xdr:blipFill>
      <xdr:spPr>
        <a:xfrm>
          <a:off x="0" y="11847600"/>
          <a:ext cx="2189880" cy="486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160560</xdr:rowOff>
    </xdr:from>
    <xdr:to>
      <xdr:col>1</xdr:col>
      <xdr:colOff>2189880</xdr:colOff>
      <xdr:row>12</xdr:row>
      <xdr:rowOff>4836600</xdr:rowOff>
    </xdr:to>
    <xdr:pic>
      <xdr:nvPicPr>
        <xdr:cNvPr id="6" name="Image 5" descr="Picture"/>
        <xdr:cNvPicPr/>
      </xdr:nvPicPr>
      <xdr:blipFill>
        <a:blip xmlns:r="http://schemas.openxmlformats.org/officeDocument/2006/relationships" r:embed="rId5"/>
        <a:stretch/>
      </xdr:blipFill>
      <xdr:spPr>
        <a:xfrm>
          <a:off x="2325960" y="11847600"/>
          <a:ext cx="2189880" cy="486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160560</xdr:rowOff>
    </xdr:from>
    <xdr:to>
      <xdr:col>0</xdr:col>
      <xdr:colOff>2189880</xdr:colOff>
      <xdr:row>16</xdr:row>
      <xdr:rowOff>4836600</xdr:rowOff>
    </xdr:to>
    <xdr:pic>
      <xdr:nvPicPr>
        <xdr:cNvPr id="7" name="Image 6" descr="Picture"/>
        <xdr:cNvPicPr/>
      </xdr:nvPicPr>
      <xdr:blipFill>
        <a:blip xmlns:r="http://schemas.openxmlformats.org/officeDocument/2006/relationships" r:embed="rId6"/>
        <a:stretch/>
      </xdr:blipFill>
      <xdr:spPr>
        <a:xfrm>
          <a:off x="0" y="17391240"/>
          <a:ext cx="2189880" cy="486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160920</xdr:rowOff>
    </xdr:from>
    <xdr:to>
      <xdr:col>0</xdr:col>
      <xdr:colOff>2189880</xdr:colOff>
      <xdr:row>20</xdr:row>
      <xdr:rowOff>4836600</xdr:rowOff>
    </xdr:to>
    <xdr:pic>
      <xdr:nvPicPr>
        <xdr:cNvPr id="8" name="Image 7" descr="Picture"/>
        <xdr:cNvPicPr/>
      </xdr:nvPicPr>
      <xdr:blipFill>
        <a:blip xmlns:r="http://schemas.openxmlformats.org/officeDocument/2006/relationships" r:embed="rId6"/>
        <a:stretch/>
      </xdr:blipFill>
      <xdr:spPr>
        <a:xfrm>
          <a:off x="0" y="22935240"/>
          <a:ext cx="2189880" cy="4866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160920</xdr:rowOff>
    </xdr:from>
    <xdr:to>
      <xdr:col>1</xdr:col>
      <xdr:colOff>2189880</xdr:colOff>
      <xdr:row>20</xdr:row>
      <xdr:rowOff>4836600</xdr:rowOff>
    </xdr:to>
    <xdr:pic>
      <xdr:nvPicPr>
        <xdr:cNvPr id="9" name="Image 8" descr="Picture"/>
        <xdr:cNvPicPr/>
      </xdr:nvPicPr>
      <xdr:blipFill>
        <a:blip xmlns:r="http://schemas.openxmlformats.org/officeDocument/2006/relationships" r:embed="rId1"/>
        <a:stretch/>
      </xdr:blipFill>
      <xdr:spPr>
        <a:xfrm>
          <a:off x="2325960" y="22935240"/>
          <a:ext cx="2189880" cy="4866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160560</xdr:rowOff>
    </xdr:from>
    <xdr:to>
      <xdr:col>0</xdr:col>
      <xdr:colOff>2189880</xdr:colOff>
      <xdr:row>24</xdr:row>
      <xdr:rowOff>4836600</xdr:rowOff>
    </xdr:to>
    <xdr:pic>
      <xdr:nvPicPr>
        <xdr:cNvPr id="10" name="Image 9" descr="Picture"/>
        <xdr:cNvPicPr/>
      </xdr:nvPicPr>
      <xdr:blipFill>
        <a:blip xmlns:r="http://schemas.openxmlformats.org/officeDocument/2006/relationships" r:embed="rId7"/>
        <a:stretch/>
      </xdr:blipFill>
      <xdr:spPr>
        <a:xfrm>
          <a:off x="0" y="28478520"/>
          <a:ext cx="2189880" cy="486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57240</xdr:rowOff>
    </xdr:from>
    <xdr:to>
      <xdr:col>1</xdr:col>
      <xdr:colOff>2190240</xdr:colOff>
      <xdr:row>24</xdr:row>
      <xdr:rowOff>4924080</xdr:rowOff>
    </xdr:to>
    <xdr:pic>
      <xdr:nvPicPr>
        <xdr:cNvPr id="11" name="Image 10" descr="Picture"/>
        <xdr:cNvPicPr/>
      </xdr:nvPicPr>
      <xdr:blipFill>
        <a:blip xmlns:r="http://schemas.openxmlformats.org/officeDocument/2006/relationships" r:embed="rId8"/>
        <a:stretch/>
      </xdr:blipFill>
      <xdr:spPr>
        <a:xfrm>
          <a:off x="2325960" y="28565640"/>
          <a:ext cx="2190240" cy="486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</xdr:row>
      <xdr:rowOff>57240</xdr:rowOff>
    </xdr:from>
    <xdr:to>
      <xdr:col>0</xdr:col>
      <xdr:colOff>2190240</xdr:colOff>
      <xdr:row>28</xdr:row>
      <xdr:rowOff>4924080</xdr:rowOff>
    </xdr:to>
    <xdr:pic>
      <xdr:nvPicPr>
        <xdr:cNvPr id="12" name="Image 11" descr="Picture"/>
        <xdr:cNvPicPr/>
      </xdr:nvPicPr>
      <xdr:blipFill>
        <a:blip xmlns:r="http://schemas.openxmlformats.org/officeDocument/2006/relationships" r:embed="rId9"/>
        <a:stretch/>
      </xdr:blipFill>
      <xdr:spPr>
        <a:xfrm>
          <a:off x="0" y="34109280"/>
          <a:ext cx="2190240" cy="4866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hy5w8fL6V9dCcl_rVwM0BGt-bKglZp2b/view?usp=drivesd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3261E"/>
    <pageSetUpPr fitToPage="1"/>
  </sheetPr>
  <dimension ref="A1:L8"/>
  <sheetViews>
    <sheetView tabSelected="1" zoomScale="85" zoomScaleNormal="85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P9" sqref="P9"/>
    </sheetView>
  </sheetViews>
  <sheetFormatPr defaultColWidth="8.6328125" defaultRowHeight="14.5"/>
  <cols>
    <col min="1" max="1" width="9" style="1" customWidth="1"/>
    <col min="2" max="2" width="12" style="1" customWidth="1"/>
    <col min="3" max="3" width="17" style="1" customWidth="1"/>
    <col min="4" max="4" width="34" style="1" customWidth="1"/>
    <col min="5" max="5" width="10" style="1" customWidth="1"/>
    <col min="6" max="6" width="9" style="1" customWidth="1"/>
    <col min="7" max="7" width="44" style="1" customWidth="1"/>
    <col min="8" max="8" width="34" style="1" customWidth="1"/>
    <col min="9" max="9" width="40" style="1" customWidth="1"/>
    <col min="10" max="10" width="34" style="1" customWidth="1"/>
    <col min="11" max="11" width="9" style="1" customWidth="1"/>
    <col min="12" max="12" width="20" style="1" customWidth="1"/>
  </cols>
  <sheetData>
    <row r="1" spans="1:12" ht="27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96.75" customHeight="1">
      <c r="A2" s="3" t="s">
        <v>12</v>
      </c>
      <c r="B2" s="3" t="s">
        <v>13</v>
      </c>
      <c r="C2" s="4" t="s">
        <v>14</v>
      </c>
      <c r="D2" s="4" t="s">
        <v>15</v>
      </c>
      <c r="E2" s="5" t="s">
        <v>16</v>
      </c>
      <c r="F2" s="3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3" t="s">
        <v>22</v>
      </c>
      <c r="L2" s="6" t="s">
        <v>97</v>
      </c>
    </row>
    <row r="3" spans="1:12" ht="70.5" customHeight="1">
      <c r="A3" s="3" t="s">
        <v>24</v>
      </c>
      <c r="B3" s="3" t="s">
        <v>25</v>
      </c>
      <c r="C3" s="4" t="s">
        <v>26</v>
      </c>
      <c r="D3" s="4" t="s">
        <v>27</v>
      </c>
      <c r="E3" s="7" t="s">
        <v>28</v>
      </c>
      <c r="F3" s="3" t="s">
        <v>29</v>
      </c>
      <c r="G3" s="4" t="s">
        <v>30</v>
      </c>
      <c r="H3" s="4" t="s">
        <v>31</v>
      </c>
      <c r="I3" s="4" t="s">
        <v>32</v>
      </c>
      <c r="J3" s="4" t="s">
        <v>21</v>
      </c>
      <c r="K3" s="3" t="s">
        <v>22</v>
      </c>
      <c r="L3" s="6" t="s">
        <v>98</v>
      </c>
    </row>
    <row r="4" spans="1:12" ht="57.75" customHeight="1">
      <c r="A4" s="3" t="s">
        <v>34</v>
      </c>
      <c r="B4" s="3" t="s">
        <v>35</v>
      </c>
      <c r="C4" s="4" t="s">
        <v>36</v>
      </c>
      <c r="D4" s="4" t="s">
        <v>37</v>
      </c>
      <c r="E4" s="8" t="s">
        <v>38</v>
      </c>
      <c r="F4" s="3" t="s">
        <v>39</v>
      </c>
      <c r="G4" s="4" t="s">
        <v>40</v>
      </c>
      <c r="H4" s="4" t="s">
        <v>41</v>
      </c>
      <c r="I4" s="4" t="s">
        <v>42</v>
      </c>
      <c r="J4" s="4" t="s">
        <v>21</v>
      </c>
      <c r="K4" s="3" t="s">
        <v>22</v>
      </c>
      <c r="L4" s="6" t="s">
        <v>33</v>
      </c>
    </row>
    <row r="5" spans="1:12" ht="57.75" customHeight="1">
      <c r="A5" s="3" t="s">
        <v>43</v>
      </c>
      <c r="B5" s="3" t="s">
        <v>44</v>
      </c>
      <c r="C5" s="4" t="s">
        <v>45</v>
      </c>
      <c r="D5" s="4" t="s">
        <v>46</v>
      </c>
      <c r="E5" s="8" t="s">
        <v>38</v>
      </c>
      <c r="F5" s="3" t="s">
        <v>39</v>
      </c>
      <c r="G5" s="4" t="s">
        <v>47</v>
      </c>
      <c r="H5" s="4" t="s">
        <v>48</v>
      </c>
      <c r="I5" s="4" t="s">
        <v>49</v>
      </c>
      <c r="J5" s="4" t="s">
        <v>21</v>
      </c>
      <c r="K5" s="3" t="s">
        <v>22</v>
      </c>
      <c r="L5" s="6" t="s">
        <v>99</v>
      </c>
    </row>
    <row r="6" spans="1:12" ht="57.75" customHeight="1">
      <c r="A6" s="3" t="s">
        <v>50</v>
      </c>
      <c r="B6" s="3" t="s">
        <v>51</v>
      </c>
      <c r="C6" s="4" t="s">
        <v>26</v>
      </c>
      <c r="D6" s="4" t="s">
        <v>52</v>
      </c>
      <c r="E6" s="8" t="s">
        <v>38</v>
      </c>
      <c r="F6" s="3" t="s">
        <v>39</v>
      </c>
      <c r="G6" s="4" t="s">
        <v>53</v>
      </c>
      <c r="H6" s="4" t="s">
        <v>54</v>
      </c>
      <c r="I6" s="4" t="s">
        <v>55</v>
      </c>
      <c r="J6" s="4" t="s">
        <v>21</v>
      </c>
      <c r="K6" s="3" t="s">
        <v>22</v>
      </c>
      <c r="L6" s="18" t="s">
        <v>99</v>
      </c>
    </row>
    <row r="7" spans="1:12" ht="70.5" customHeight="1">
      <c r="A7" s="3" t="s">
        <v>56</v>
      </c>
      <c r="B7" s="3" t="s">
        <v>57</v>
      </c>
      <c r="C7" s="4" t="s">
        <v>58</v>
      </c>
      <c r="D7" s="4" t="s">
        <v>59</v>
      </c>
      <c r="E7" s="7" t="s">
        <v>28</v>
      </c>
      <c r="F7" s="3" t="s">
        <v>29</v>
      </c>
      <c r="G7" s="4" t="s">
        <v>60</v>
      </c>
      <c r="H7" s="4" t="s">
        <v>61</v>
      </c>
      <c r="I7" s="4" t="s">
        <v>62</v>
      </c>
      <c r="J7" s="4" t="s">
        <v>21</v>
      </c>
      <c r="K7" s="3" t="s">
        <v>22</v>
      </c>
      <c r="L7" s="6" t="s">
        <v>33</v>
      </c>
    </row>
    <row r="8" spans="1:12" ht="57.75" customHeight="1">
      <c r="A8" s="3" t="s">
        <v>63</v>
      </c>
      <c r="B8" s="3" t="s">
        <v>64</v>
      </c>
      <c r="C8" s="4" t="s">
        <v>65</v>
      </c>
      <c r="D8" s="4" t="s">
        <v>66</v>
      </c>
      <c r="E8" s="8" t="s">
        <v>38</v>
      </c>
      <c r="F8" s="3" t="s">
        <v>39</v>
      </c>
      <c r="G8" s="4" t="s">
        <v>67</v>
      </c>
      <c r="H8" s="4" t="s">
        <v>68</v>
      </c>
      <c r="I8" s="4" t="s">
        <v>69</v>
      </c>
      <c r="J8" s="4" t="s">
        <v>21</v>
      </c>
      <c r="K8" s="3" t="s">
        <v>22</v>
      </c>
      <c r="L8" s="6" t="s">
        <v>23</v>
      </c>
    </row>
  </sheetData>
  <autoFilter ref="A1:L8"/>
  <dataValidations count="2">
    <dataValidation type="list" sqref="K2:K8">
      <formula1>"Open,In Progress,Fixed,Verified,Closed"</formula1>
      <formula2>0</formula2>
    </dataValidation>
    <dataValidation type="list" sqref="E2:E8">
      <formula1>"High,Medium,Low"</formula1>
      <formula2>0</formula2>
    </dataValidation>
  </dataValidations>
  <hyperlinks>
    <hyperlink ref="L4" location="'Evidence'!A11" display="2 screenshots – see Evidence sheet"/>
    <hyperlink ref="L6" r:id="rId1"/>
  </hyperlinks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ColWidth="8.6328125" defaultRowHeight="14.5"/>
  <cols>
    <col min="1" max="1" width="24" style="1" customWidth="1"/>
    <col min="2" max="2" width="10" customWidth="1"/>
  </cols>
  <sheetData>
    <row r="1" spans="1:2" ht="17.25" customHeight="1">
      <c r="A1" s="9" t="s">
        <v>70</v>
      </c>
    </row>
    <row r="3" spans="1:2" ht="15" customHeight="1">
      <c r="A3" s="10" t="s">
        <v>4</v>
      </c>
      <c r="B3" s="10" t="s">
        <v>71</v>
      </c>
    </row>
    <row r="4" spans="1:2" ht="15" customHeight="1">
      <c r="A4" s="11" t="s">
        <v>16</v>
      </c>
      <c r="B4" s="11">
        <f>COUNTIF('Bug Reports'!$E$2:$E$8,A4)</f>
        <v>1</v>
      </c>
    </row>
    <row r="5" spans="1:2" ht="15" customHeight="1">
      <c r="A5" s="11" t="s">
        <v>28</v>
      </c>
      <c r="B5" s="11">
        <f>COUNTIF('Bug Reports'!$E$2:$E$8,A5)</f>
        <v>2</v>
      </c>
    </row>
    <row r="6" spans="1:2" ht="15" customHeight="1">
      <c r="A6" s="11" t="s">
        <v>38</v>
      </c>
      <c r="B6" s="11">
        <f>COUNTIF('Bug Reports'!$E$2:$E$8,A6)</f>
        <v>4</v>
      </c>
    </row>
    <row r="7" spans="1:2" ht="15" customHeight="1">
      <c r="A7" s="12" t="s">
        <v>72</v>
      </c>
      <c r="B7" s="12">
        <f>SUM(B4:B6)</f>
        <v>7</v>
      </c>
    </row>
    <row r="9" spans="1:2" ht="15" customHeight="1">
      <c r="A9" s="10" t="s">
        <v>10</v>
      </c>
      <c r="B9" s="10" t="s">
        <v>71</v>
      </c>
    </row>
    <row r="10" spans="1:2" ht="15" customHeight="1">
      <c r="A10" s="11" t="s">
        <v>22</v>
      </c>
      <c r="B10" s="11">
        <f>COUNTIF('Bug Reports'!$K$2:$K$8,A10)</f>
        <v>7</v>
      </c>
    </row>
    <row r="11" spans="1:2" ht="15" customHeight="1">
      <c r="A11" s="11" t="s">
        <v>73</v>
      </c>
      <c r="B11" s="11">
        <f>COUNTIF('Bug Reports'!$K$2:$K$8,A11)</f>
        <v>0</v>
      </c>
    </row>
    <row r="12" spans="1:2" ht="15" customHeight="1">
      <c r="A12" s="11" t="s">
        <v>74</v>
      </c>
      <c r="B12" s="11">
        <f>COUNTIF('Bug Reports'!$K$2:$K$8,A12)</f>
        <v>0</v>
      </c>
    </row>
    <row r="13" spans="1:2" ht="15" customHeight="1">
      <c r="A13" s="11" t="s">
        <v>75</v>
      </c>
      <c r="B13" s="11">
        <f>COUNTIF('Bug Reports'!$K$2:$K$8,A13)</f>
        <v>0</v>
      </c>
    </row>
    <row r="14" spans="1:2" ht="15" customHeight="1">
      <c r="A14" s="11" t="s">
        <v>76</v>
      </c>
      <c r="B14" s="11">
        <f>COUNTIF('Bug Reports'!$K$2:$K$8,A14)</f>
        <v>0</v>
      </c>
    </row>
    <row r="17" spans="1:2">
      <c r="A17" s="13" t="s">
        <v>77</v>
      </c>
    </row>
    <row r="18" spans="1:2">
      <c r="A18" s="10" t="s">
        <v>2</v>
      </c>
      <c r="B18" s="10" t="s">
        <v>78</v>
      </c>
    </row>
    <row r="19" spans="1:2">
      <c r="A19" s="14" t="s">
        <v>36</v>
      </c>
      <c r="B19" s="14">
        <f>COUNTIF('Bug Reports'!$C$2:$C$8,A19)</f>
        <v>1</v>
      </c>
    </row>
    <row r="20" spans="1:2">
      <c r="A20" s="14" t="s">
        <v>58</v>
      </c>
      <c r="B20" s="14">
        <f>COUNTIF('Bug Reports'!$C$2:$C$8,A20)</f>
        <v>1</v>
      </c>
    </row>
    <row r="21" spans="1:2">
      <c r="A21" s="14" t="s">
        <v>26</v>
      </c>
      <c r="B21" s="14">
        <f>COUNTIF('Bug Reports'!$C$2:$C$8,A21)</f>
        <v>2</v>
      </c>
    </row>
    <row r="22" spans="1:2">
      <c r="A22" s="14" t="s">
        <v>14</v>
      </c>
      <c r="B22" s="14">
        <f>COUNTIF('Bug Reports'!$C$2:$C$8,A22)</f>
        <v>1</v>
      </c>
    </row>
    <row r="23" spans="1:2">
      <c r="A23" s="14" t="s">
        <v>45</v>
      </c>
      <c r="B23" s="14">
        <f>COUNTIF('Bug Reports'!$C$2:$C$8,A23)</f>
        <v>1</v>
      </c>
    </row>
    <row r="24" spans="1:2">
      <c r="A24" s="14" t="s">
        <v>65</v>
      </c>
      <c r="B24" s="14">
        <f>COUNTIF('Bug Reports'!$C$2:$C$8,A24)</f>
        <v>1</v>
      </c>
    </row>
    <row r="25" spans="1:2">
      <c r="A25" s="15" t="s">
        <v>72</v>
      </c>
      <c r="B25" s="15">
        <f>SUM(B19:B24)</f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9"/>
  <sheetViews>
    <sheetView topLeftCell="A18" workbookViewId="0">
      <selection activeCell="A19" sqref="A19"/>
    </sheetView>
  </sheetViews>
  <sheetFormatPr defaultColWidth="8.6328125" defaultRowHeight="14.5"/>
  <cols>
    <col min="1" max="3" width="33" style="1" customWidth="1"/>
  </cols>
  <sheetData>
    <row r="1" spans="1:3" ht="17.25" customHeight="1">
      <c r="A1" s="9" t="s">
        <v>79</v>
      </c>
    </row>
    <row r="3" spans="1:3" ht="15" customHeight="1">
      <c r="A3" s="10" t="s">
        <v>80</v>
      </c>
      <c r="B3" s="16"/>
      <c r="C3" s="16"/>
    </row>
    <row r="4" spans="1:3" ht="15" customHeight="1">
      <c r="A4" s="17" t="s">
        <v>81</v>
      </c>
    </row>
    <row r="5" spans="1:3" ht="391.5" customHeight="1"/>
    <row r="7" spans="1:3" ht="15" customHeight="1">
      <c r="A7" s="10" t="s">
        <v>82</v>
      </c>
      <c r="B7" s="16"/>
      <c r="C7" s="16"/>
    </row>
    <row r="8" spans="1:3" ht="15" customHeight="1">
      <c r="A8" s="17" t="s">
        <v>83</v>
      </c>
      <c r="B8" s="17" t="s">
        <v>84</v>
      </c>
    </row>
    <row r="9" spans="1:3" ht="391.5" customHeight="1"/>
    <row r="11" spans="1:3" ht="15" customHeight="1">
      <c r="A11" s="10" t="s">
        <v>85</v>
      </c>
      <c r="B11" s="16"/>
      <c r="C11" s="16"/>
    </row>
    <row r="12" spans="1:3" ht="15" customHeight="1">
      <c r="A12" s="17" t="s">
        <v>86</v>
      </c>
      <c r="B12" s="17" t="s">
        <v>87</v>
      </c>
    </row>
    <row r="13" spans="1:3" ht="391.5" customHeight="1"/>
    <row r="15" spans="1:3" ht="15" customHeight="1">
      <c r="A15" s="10"/>
      <c r="B15" s="16"/>
      <c r="C15" s="16"/>
    </row>
    <row r="16" spans="1:3" ht="15" customHeight="1">
      <c r="A16" s="17" t="s">
        <v>88</v>
      </c>
    </row>
    <row r="17" spans="1:3" ht="391.5" customHeight="1"/>
    <row r="19" spans="1:3" ht="15" customHeight="1">
      <c r="A19" s="10" t="s">
        <v>89</v>
      </c>
      <c r="B19" s="16"/>
      <c r="C19" s="16"/>
    </row>
    <row r="20" spans="1:3" ht="15" customHeight="1">
      <c r="A20" s="17" t="s">
        <v>90</v>
      </c>
      <c r="B20" s="17" t="s">
        <v>91</v>
      </c>
    </row>
    <row r="21" spans="1:3" ht="391.5" customHeight="1"/>
    <row r="23" spans="1:3" ht="15" customHeight="1">
      <c r="A23" s="10" t="s">
        <v>92</v>
      </c>
      <c r="B23" s="16"/>
      <c r="C23" s="16"/>
    </row>
    <row r="24" spans="1:3" ht="15" customHeight="1">
      <c r="A24" s="17" t="s">
        <v>93</v>
      </c>
      <c r="B24" s="17" t="s">
        <v>94</v>
      </c>
    </row>
    <row r="25" spans="1:3" ht="391.5" customHeight="1"/>
    <row r="27" spans="1:3">
      <c r="A27" s="10" t="s">
        <v>95</v>
      </c>
    </row>
    <row r="28" spans="1:3">
      <c r="A28" s="17" t="s">
        <v>96</v>
      </c>
    </row>
    <row r="29" spans="1:3" ht="391.5" customHeight="1"/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 Reports</vt:lpstr>
      <vt:lpstr>Summary</vt:lpstr>
      <vt:lpstr>Evidence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 0</cp:lastModifiedBy>
  <cp:revision>0</cp:revision>
  <dcterms:created xsi:type="dcterms:W3CDTF">2026-10-08T07:42:46Z</dcterms:created>
  <dcterms:modified xsi:type="dcterms:W3CDTF">2026-10-08T13:08:37Z</dcterms:modified>
  <dc:language>en-US</dc:language>
</cp:coreProperties>
</file>