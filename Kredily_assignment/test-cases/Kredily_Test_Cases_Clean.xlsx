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Test Cases" sheetId="1" r:id="rId1"/>
    <sheet name="Summary" sheetId="2" r:id="rId2"/>
  </sheets>
  <definedNames>
    <definedName name="_xlnm._FilterDatabase" localSheetId="0" hidden="1">'Test Cases'!$A$1:$M$21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2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E26" s="1"/>
  <c r="D18"/>
  <c r="D26" s="1"/>
  <c r="C18"/>
  <c r="C26" s="1"/>
  <c r="B18"/>
  <c r="B26" s="1"/>
  <c r="B14"/>
  <c r="B13"/>
  <c r="B12"/>
  <c r="B8"/>
  <c r="B7"/>
  <c r="B6"/>
  <c r="B5"/>
  <c r="B10" l="1"/>
  <c r="B9"/>
  <c r="C8" l="1"/>
  <c r="C6"/>
  <c r="C7"/>
  <c r="C5"/>
  <c r="C9" l="1"/>
</calcChain>
</file>

<file path=xl/sharedStrings.xml><?xml version="1.0" encoding="utf-8"?>
<sst xmlns="http://schemas.openxmlformats.org/spreadsheetml/2006/main" count="280" uniqueCount="173">
  <si>
    <t>TC ID</t>
  </si>
  <si>
    <t>Module</t>
  </si>
  <si>
    <t>Type</t>
  </si>
  <si>
    <t>Priority</t>
  </si>
  <si>
    <t>Scenario</t>
  </si>
  <si>
    <t>Preconditions</t>
  </si>
  <si>
    <t>Steps</t>
  </si>
  <si>
    <t>Test Data</t>
  </si>
  <si>
    <t>Expected Result</t>
  </si>
  <si>
    <t>Actual Result</t>
  </si>
  <si>
    <t>Status</t>
  </si>
  <si>
    <t>Bug ID</t>
  </si>
  <si>
    <t>Evidence / Remarks</t>
  </si>
  <si>
    <t>TC01</t>
  </si>
  <si>
    <t>Login</t>
  </si>
  <si>
    <t>Positive</t>
  </si>
  <si>
    <t>P1</t>
  </si>
  <si>
    <t>Valid login</t>
  </si>
  <si>
    <t>App installed, valid account</t>
  </si>
  <si>
    <t>1. Enter email
2. Tap Continue
3. Tap 'Sign in with password'
4. Enter valid password
5. Tap Sign in</t>
  </si>
  <si>
    <t>peoplekredily1@yopmail.com / Pass@9865</t>
  </si>
  <si>
    <t>User lands on Home dashboard</t>
  </si>
  <si>
    <t>Reached Home dashboard</t>
  </si>
  <si>
    <t>Pass</t>
  </si>
  <si>
    <t>TC02</t>
  </si>
  <si>
    <t>Negative</t>
  </si>
  <si>
    <t>Wrong password</t>
  </si>
  <si>
    <t>App on login screen</t>
  </si>
  <si>
    <t>1. Enter valid email
2. Continue → password
3. Enter wrong password
4. Sign in</t>
  </si>
  <si>
    <t>peoplekredily1@yopmail.com / wrong password (10 chars)</t>
  </si>
  <si>
    <t>Error message shown; stays on password screen</t>
  </si>
  <si>
    <t>Red error 'Incorrect password. 4 attempts remaining.'; stays on password screen</t>
  </si>
  <si>
    <t>TC03</t>
  </si>
  <si>
    <t>P2</t>
  </si>
  <si>
    <t>Empty email, tap Continue</t>
  </si>
  <si>
    <t>1. Leave email blank
2. Tap Continue</t>
  </si>
  <si>
    <t>Empty</t>
  </si>
  <si>
    <t>Validation message; no navigation</t>
  </si>
  <si>
    <t>Field turns red; message 'Enter your email or mobile number'; no navigation</t>
  </si>
  <si>
    <t>TC04</t>
  </si>
  <si>
    <t>Malformed email</t>
  </si>
  <si>
    <t>1. Enter the malformed email (missing dot before 'com')
2. Tap Continue</t>
  </si>
  <si>
    <t>peoplekredily1@yopmailcom</t>
  </si>
  <si>
    <t>Inline validation message; no navigation to password step</t>
  </si>
  <si>
    <t>Field turns red; message 'Enter a valid email address'; no navigation</t>
  </si>
  <si>
    <t>TC05</t>
  </si>
  <si>
    <t>Edge</t>
  </si>
  <si>
    <t>P3</t>
  </si>
  <si>
    <t>Placeholder readability</t>
  </si>
  <si>
    <t>1. Launch app
2. Observe email/mobile field</t>
  </si>
  <si>
    <t>-</t>
  </si>
  <si>
    <t>Placeholder fully visible</t>
  </si>
  <si>
    <t>Second placeholder line clipped inside input</t>
  </si>
  <si>
    <t>Fail</t>
  </si>
  <si>
    <t>BUG-03</t>
  </si>
  <si>
    <t>Screenshots: login run 1 and run 2 (Evidence sheet, BUG-03)</t>
  </si>
  <si>
    <t>TC06</t>
  </si>
  <si>
    <t>Password masking and eye toggle</t>
  </si>
  <si>
    <t>On password screen</t>
  </si>
  <si>
    <t>1. Type password
2. Tap eye icon</t>
  </si>
  <si>
    <t>Any password</t>
  </si>
  <si>
    <t>Masked by default; toggle reveals/hides</t>
  </si>
  <si>
    <t>Password masked by default and eye icon present; show/hide toggle not yet tapped</t>
  </si>
  <si>
    <t>Not Executed</t>
  </si>
  <si>
    <t>Mask verified from screenshot. Tap the eye icon to reveal/hide, then update status.</t>
  </si>
  <si>
    <t>TC07</t>
  </si>
  <si>
    <t>Back from password screen</t>
  </si>
  <si>
    <t>1. Tap Back</t>
  </si>
  <si>
    <t>Returns to email screen</t>
  </si>
  <si>
    <t>Returned to the email/mobile screen</t>
  </si>
  <si>
    <t>TC08</t>
  </si>
  <si>
    <t>Home</t>
  </si>
  <si>
    <t>Dashboard shows user, date, shift</t>
  </si>
  <si>
    <t>Logged in</t>
  </si>
  <si>
    <t>1. Observe Home header</t>
  </si>
  <si>
    <t>Name, date and valid shift shown</t>
  </si>
  <si>
    <t>Name and date shown; shift displays '12:30 – 12:30' (zero-length shift)</t>
  </si>
  <si>
    <t>BUG-06</t>
  </si>
  <si>
    <t>Clock In sheet also shows 'After shift · OT window' (Evidence sheet, BUG-06)</t>
  </si>
  <si>
    <t>TC09</t>
  </si>
  <si>
    <t>Clock In available after clock-out</t>
  </si>
  <si>
    <t>User clocked out</t>
  </si>
  <si>
    <t>1. Observe shift card</t>
  </si>
  <si>
    <t>'Clocked out' status and enabled Clock In</t>
  </si>
  <si>
    <t>Shown correctly</t>
  </si>
  <si>
    <t>TC10</t>
  </si>
  <si>
    <t>Home / Attendance</t>
  </si>
  <si>
    <t>Worked-time consistency</t>
  </si>
  <si>
    <t>Punch 08:43→08:53 recorded</t>
  </si>
  <si>
    <t>1. Note 'worked' time on Home
2. Open Attendance → Team → today</t>
  </si>
  <si>
    <t>Same duration (10m) on both screens</t>
  </si>
  <si>
    <t>Home '5m worked'; Attendance 08:43→08:53 (10m)</t>
  </si>
  <si>
    <t>BUG-02</t>
  </si>
  <si>
    <t>Screenshots: Home and Attendance (Evidence sheet, BUG-02)</t>
  </si>
  <si>
    <t>TC11</t>
  </si>
  <si>
    <t>Home / Approvals</t>
  </si>
  <si>
    <t>Pending approval count consistency</t>
  </si>
  <si>
    <t>Admin with pending corrections</t>
  </si>
  <si>
    <t>1. Note Home 'Needs you' count
2. Note nav badge
3. Open Approvals → Reg.</t>
  </si>
  <si>
    <t>Same count everywhere</t>
  </si>
  <si>
    <t>Home 8, nav badge 5, Reg. tab 5</t>
  </si>
  <si>
    <t>BUG-01</t>
  </si>
  <si>
    <t>Screenshot: Home vs nav badge (Evidence sheet, BUG-01)</t>
  </si>
  <si>
    <t>TC12</t>
  </si>
  <si>
    <t>Approvals</t>
  </si>
  <si>
    <t>Leave tab empty state</t>
  </si>
  <si>
    <t>No pending leave</t>
  </si>
  <si>
    <t>1. Open Approvals
2. Select Leave tab</t>
  </si>
  <si>
    <t>Friendly empty state</t>
  </si>
  <si>
    <t>'All caught up – No pending leave requests'</t>
  </si>
  <si>
    <t>TC13</t>
  </si>
  <si>
    <t>Reg. tab lists requests</t>
  </si>
  <si>
    <t>5 pending regularizations</t>
  </si>
  <si>
    <t>1. Open Approvals
2. Tap Reg.</t>
  </si>
  <si>
    <t>5 items listed with details</t>
  </si>
  <si>
    <t>5 pending regularization requests listed with details</t>
  </si>
  <si>
    <t>TC14</t>
  </si>
  <si>
    <t>Bulk action with nothing selected</t>
  </si>
  <si>
    <t>Approvals open</t>
  </si>
  <si>
    <t>1. Tap Select
2. Attempt approve/reject with none selected</t>
  </si>
  <si>
    <t>Action disabled or message shown</t>
  </si>
  <si>
    <t>Approve/reject disabled, or a message shown, when nothing is selected</t>
  </si>
  <si>
    <t>TC15</t>
  </si>
  <si>
    <t>Attendance</t>
  </si>
  <si>
    <t>Team summary matches Home</t>
  </si>
  <si>
    <t>1. Open Attendance → Team
2. Compare In/Late/Leave/Absent with Home</t>
  </si>
  <si>
    <t>1 / 0 / 0 / 0 on both</t>
  </si>
  <si>
    <t>Matches</t>
  </si>
  <si>
    <t>TC16</t>
  </si>
  <si>
    <t>Week strip layout</t>
  </si>
  <si>
    <t>Attendance open</t>
  </si>
  <si>
    <t>1. View date strip</t>
  </si>
  <si>
    <t>Day labels on a single line</t>
  </si>
  <si>
    <t>'SAT'/'SUN' wrap as 'SA/T', 'SU/N'</t>
  </si>
  <si>
    <t>BUG-04</t>
  </si>
  <si>
    <t>Screenshot: Attendance date strip (Evidence sheet, BUG-04)</t>
  </si>
  <si>
    <t>TC17</t>
  </si>
  <si>
    <t>Week range consistency</t>
  </si>
  <si>
    <t>1. Compare Attendance range with Home 'This week'</t>
  </si>
  <si>
    <t>Same week start</t>
  </si>
  <si>
    <t>Attendance Fri–Thu; Home Mon–Sun</t>
  </si>
  <si>
    <t>BUG-05</t>
  </si>
  <si>
    <t>Screenshots: Attendance and Home (Evidence sheet, BUG-05)</t>
  </si>
  <si>
    <t>TC18</t>
  </si>
  <si>
    <t>Directory</t>
  </si>
  <si>
    <t>Directory count matches rows</t>
  </si>
  <si>
    <t>1. Open Directory</t>
  </si>
  <si>
    <t>'3 people' and 3 rows</t>
  </si>
  <si>
    <t>TC19</t>
  </si>
  <si>
    <t>Search with no match</t>
  </si>
  <si>
    <t>Directory open</t>
  </si>
  <si>
    <t>1. Type 'zzzz' in search</t>
  </si>
  <si>
    <t>zzzz</t>
  </si>
  <si>
    <t>'No results' state</t>
  </si>
  <si>
    <t>'No results' state shown for the unmatched search</t>
  </si>
  <si>
    <t>TC20</t>
  </si>
  <si>
    <t>Profile</t>
  </si>
  <si>
    <t>Identity and completion shown</t>
  </si>
  <si>
    <t>1. Open Profile</t>
  </si>
  <si>
    <t>Name, ID, email, role and % shown untruncated</t>
  </si>
  <si>
    <t>Name, ID, role and 67% / 33% left shown; email ('peoplekredily1@yopm…') and heading ('Complete your prof..') truncated</t>
  </si>
  <si>
    <t>BUG-07</t>
  </si>
  <si>
    <t>Screenshot: Profile (Evidence sheet, BUG-07)</t>
  </si>
  <si>
    <t>Kredily HRMS APK – Test Execution Summary</t>
  </si>
  <si>
    <t>Build: kredily-mobile-v2.apk · Real Android device · Admin account · 8 Oct 2026.</t>
  </si>
  <si>
    <t>Count</t>
  </si>
  <si>
    <t>% of total</t>
  </si>
  <si>
    <t>Blocked</t>
  </si>
  <si>
    <t>Total</t>
  </si>
  <si>
    <t>Pass rate (of executed)</t>
  </si>
  <si>
    <t>By type</t>
  </si>
  <si>
    <t>By module</t>
  </si>
  <si>
    <t>Note: TC06 is Not Executed until the eye-icon toggle is tapped. Defects: see Kredily_Bug_Reports.xlsx.</t>
  </si>
</sst>
</file>

<file path=xl/styles.xml><?xml version="1.0" encoding="utf-8"?>
<styleSheet xmlns="http://schemas.openxmlformats.org/spreadsheetml/2006/main">
  <numFmts count="1">
    <numFmt numFmtId="164" formatCode="0.0%"/>
  </numFmts>
  <fonts count="7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B3FD9"/>
        <bgColor rgb="FF3366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/>
    <xf numFmtId="0" fontId="4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164" fontId="2" fillId="0" borderId="0" xfId="0" applyNumberFormat="1" applyFont="1" applyAlignment="1"/>
    <xf numFmtId="0" fontId="5" fillId="0" borderId="0" xfId="0" applyFont="1" applyAlignment="1"/>
    <xf numFmtId="164" fontId="5" fillId="0" borderId="0" xfId="0" applyNumberFormat="1" applyFont="1" applyAlignment="1"/>
    <xf numFmtId="0" fontId="5" fillId="0" borderId="0" xfId="0" applyFont="1"/>
    <xf numFmtId="164" fontId="5" fillId="0" borderId="0" xfId="0" applyNumberFormat="1" applyFont="1"/>
    <xf numFmtId="0" fontId="2" fillId="2" borderId="0" xfId="0" applyFont="1" applyFill="1" applyAlignment="1"/>
    <xf numFmtId="0" fontId="6" fillId="0" borderId="0" xfId="0" applyFont="1"/>
    <xf numFmtId="0" fontId="2" fillId="0" borderId="1" xfId="0" applyFont="1" applyBorder="1"/>
    <xf numFmtId="0" fontId="5" fillId="0" borderId="1" xfId="0" applyFont="1" applyBorder="1"/>
    <xf numFmtId="0" fontId="4" fillId="0" borderId="0" xfId="0" applyFon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B3F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B3FD9"/>
    <pageSetUpPr fitToPage="1"/>
  </sheetPr>
  <dimension ref="A1:M21"/>
  <sheetViews>
    <sheetView tabSelected="1" workbookViewId="0">
      <pane xSplit="2" ySplit="1" topLeftCell="K3" activePane="bottomRight" state="frozen"/>
      <selection pane="topRight" activeCell="C1" sqref="C1"/>
      <selection pane="bottomLeft" activeCell="A2" sqref="A2"/>
      <selection pane="bottomRight" activeCell="K8" sqref="K8"/>
    </sheetView>
  </sheetViews>
  <sheetFormatPr defaultColWidth="8.6328125" defaultRowHeight="14.5"/>
  <cols>
    <col min="1" max="1" width="8" style="1" customWidth="1"/>
    <col min="2" max="2" width="16" style="1" customWidth="1"/>
    <col min="3" max="3" width="10" style="1" customWidth="1"/>
    <col min="4" max="4" width="9" style="1" customWidth="1"/>
    <col min="5" max="5" width="28" style="1" customWidth="1"/>
    <col min="6" max="6" width="24" style="1" customWidth="1"/>
    <col min="7" max="7" width="38" style="1" customWidth="1"/>
    <col min="8" max="8" width="24" style="1" customWidth="1"/>
    <col min="9" max="9" width="32" style="1" customWidth="1"/>
    <col min="10" max="10" width="36" style="1" customWidth="1"/>
    <col min="11" max="11" width="13" style="1" customWidth="1"/>
    <col min="12" max="12" width="11" style="1" customWidth="1"/>
    <col min="13" max="13" width="34" style="1" customWidth="1"/>
  </cols>
  <sheetData>
    <row r="1" spans="1:13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0.5" customHeight="1">
      <c r="A2" s="3" t="s">
        <v>13</v>
      </c>
      <c r="B2" s="4" t="s">
        <v>14</v>
      </c>
      <c r="C2" s="3" t="s">
        <v>15</v>
      </c>
      <c r="D2" s="3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3" t="s">
        <v>23</v>
      </c>
      <c r="L2" s="3"/>
      <c r="M2" s="4"/>
    </row>
    <row r="3" spans="1:13" ht="57.75" customHeight="1">
      <c r="A3" s="3" t="s">
        <v>24</v>
      </c>
      <c r="B3" s="4" t="s">
        <v>14</v>
      </c>
      <c r="C3" s="3" t="s">
        <v>25</v>
      </c>
      <c r="D3" s="3" t="s">
        <v>16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3" t="s">
        <v>23</v>
      </c>
      <c r="L3" s="3"/>
      <c r="M3" s="4"/>
    </row>
    <row r="4" spans="1:13" ht="45" customHeight="1">
      <c r="A4" s="3" t="s">
        <v>32</v>
      </c>
      <c r="B4" s="4" t="s">
        <v>14</v>
      </c>
      <c r="C4" s="3" t="s">
        <v>25</v>
      </c>
      <c r="D4" s="3" t="s">
        <v>33</v>
      </c>
      <c r="E4" s="4" t="s">
        <v>34</v>
      </c>
      <c r="F4" s="4" t="s">
        <v>27</v>
      </c>
      <c r="G4" s="4" t="s">
        <v>35</v>
      </c>
      <c r="H4" s="4" t="s">
        <v>36</v>
      </c>
      <c r="I4" s="4" t="s">
        <v>37</v>
      </c>
      <c r="J4" s="4" t="s">
        <v>38</v>
      </c>
      <c r="K4" s="3" t="s">
        <v>23</v>
      </c>
      <c r="L4" s="3"/>
      <c r="M4" s="4"/>
    </row>
    <row r="5" spans="1:13" ht="45" customHeight="1">
      <c r="A5" s="3" t="s">
        <v>39</v>
      </c>
      <c r="B5" s="4" t="s">
        <v>14</v>
      </c>
      <c r="C5" s="3" t="s">
        <v>25</v>
      </c>
      <c r="D5" s="3" t="s">
        <v>33</v>
      </c>
      <c r="E5" s="4" t="s">
        <v>40</v>
      </c>
      <c r="F5" s="4" t="s">
        <v>27</v>
      </c>
      <c r="G5" s="4" t="s">
        <v>41</v>
      </c>
      <c r="H5" s="4" t="s">
        <v>42</v>
      </c>
      <c r="I5" s="4" t="s">
        <v>43</v>
      </c>
      <c r="J5" s="4" t="s">
        <v>44</v>
      </c>
      <c r="K5" s="3" t="s">
        <v>23</v>
      </c>
      <c r="L5" s="3"/>
      <c r="M5" s="4"/>
    </row>
    <row r="6" spans="1:13" ht="31.5" customHeight="1">
      <c r="A6" s="3" t="s">
        <v>45</v>
      </c>
      <c r="B6" s="4" t="s">
        <v>14</v>
      </c>
      <c r="C6" s="3" t="s">
        <v>46</v>
      </c>
      <c r="D6" s="3" t="s">
        <v>47</v>
      </c>
      <c r="E6" s="4" t="s">
        <v>48</v>
      </c>
      <c r="F6" s="4" t="s">
        <v>27</v>
      </c>
      <c r="G6" s="4" t="s">
        <v>49</v>
      </c>
      <c r="H6" s="4" t="s">
        <v>50</v>
      </c>
      <c r="I6" s="4" t="s">
        <v>51</v>
      </c>
      <c r="J6" s="4" t="s">
        <v>52</v>
      </c>
      <c r="K6" s="3" t="s">
        <v>53</v>
      </c>
      <c r="L6" s="3" t="s">
        <v>54</v>
      </c>
      <c r="M6" s="4" t="s">
        <v>55</v>
      </c>
    </row>
    <row r="7" spans="1:13" ht="45" customHeight="1">
      <c r="A7" s="3" t="s">
        <v>56</v>
      </c>
      <c r="B7" s="4" t="s">
        <v>14</v>
      </c>
      <c r="C7" s="3" t="s">
        <v>15</v>
      </c>
      <c r="D7" s="3" t="s">
        <v>47</v>
      </c>
      <c r="E7" s="4" t="s">
        <v>57</v>
      </c>
      <c r="F7" s="4" t="s">
        <v>58</v>
      </c>
      <c r="G7" s="4" t="s">
        <v>59</v>
      </c>
      <c r="H7" s="4" t="s">
        <v>60</v>
      </c>
      <c r="I7" s="4" t="s">
        <v>61</v>
      </c>
      <c r="J7" s="4" t="s">
        <v>62</v>
      </c>
      <c r="K7" s="3" t="s">
        <v>53</v>
      </c>
      <c r="L7" s="3"/>
      <c r="M7" s="4" t="s">
        <v>64</v>
      </c>
    </row>
    <row r="8" spans="1:13" ht="31.5" customHeight="1">
      <c r="A8" s="3" t="s">
        <v>65</v>
      </c>
      <c r="B8" s="4" t="s">
        <v>14</v>
      </c>
      <c r="C8" s="3" t="s">
        <v>15</v>
      </c>
      <c r="D8" s="3" t="s">
        <v>47</v>
      </c>
      <c r="E8" s="4" t="s">
        <v>66</v>
      </c>
      <c r="F8" s="4" t="s">
        <v>58</v>
      </c>
      <c r="G8" s="4" t="s">
        <v>67</v>
      </c>
      <c r="H8" s="4" t="s">
        <v>50</v>
      </c>
      <c r="I8" s="4" t="s">
        <v>68</v>
      </c>
      <c r="J8" s="4" t="s">
        <v>69</v>
      </c>
      <c r="K8" s="3" t="s">
        <v>23</v>
      </c>
      <c r="L8" s="3"/>
      <c r="M8" s="4"/>
    </row>
    <row r="9" spans="1:13" ht="45" customHeight="1">
      <c r="A9" s="3" t="s">
        <v>70</v>
      </c>
      <c r="B9" s="4" t="s">
        <v>71</v>
      </c>
      <c r="C9" s="3" t="s">
        <v>15</v>
      </c>
      <c r="D9" s="3" t="s">
        <v>16</v>
      </c>
      <c r="E9" s="4" t="s">
        <v>72</v>
      </c>
      <c r="F9" s="4" t="s">
        <v>73</v>
      </c>
      <c r="G9" s="4" t="s">
        <v>74</v>
      </c>
      <c r="H9" s="4" t="s">
        <v>50</v>
      </c>
      <c r="I9" s="4" t="s">
        <v>75</v>
      </c>
      <c r="J9" s="4" t="s">
        <v>76</v>
      </c>
      <c r="K9" s="3" t="s">
        <v>53</v>
      </c>
      <c r="L9" s="3" t="s">
        <v>77</v>
      </c>
      <c r="M9" s="4" t="s">
        <v>78</v>
      </c>
    </row>
    <row r="10" spans="1:13" ht="31.5" customHeight="1">
      <c r="A10" s="3" t="s">
        <v>79</v>
      </c>
      <c r="B10" s="4" t="s">
        <v>71</v>
      </c>
      <c r="C10" s="3" t="s">
        <v>15</v>
      </c>
      <c r="D10" s="3" t="s">
        <v>33</v>
      </c>
      <c r="E10" s="4" t="s">
        <v>80</v>
      </c>
      <c r="F10" s="4" t="s">
        <v>81</v>
      </c>
      <c r="G10" s="4" t="s">
        <v>82</v>
      </c>
      <c r="H10" s="4" t="s">
        <v>50</v>
      </c>
      <c r="I10" s="4" t="s">
        <v>83</v>
      </c>
      <c r="J10" s="4" t="s">
        <v>84</v>
      </c>
      <c r="K10" s="3" t="s">
        <v>23</v>
      </c>
      <c r="L10" s="3"/>
      <c r="M10" s="4"/>
    </row>
    <row r="11" spans="1:13" ht="31.5" customHeight="1">
      <c r="A11" s="3" t="s">
        <v>85</v>
      </c>
      <c r="B11" s="4" t="s">
        <v>86</v>
      </c>
      <c r="C11" s="3" t="s">
        <v>46</v>
      </c>
      <c r="D11" s="3" t="s">
        <v>33</v>
      </c>
      <c r="E11" s="4" t="s">
        <v>87</v>
      </c>
      <c r="F11" s="4" t="s">
        <v>88</v>
      </c>
      <c r="G11" s="4" t="s">
        <v>89</v>
      </c>
      <c r="H11" s="4" t="s">
        <v>50</v>
      </c>
      <c r="I11" s="4" t="s">
        <v>90</v>
      </c>
      <c r="J11" s="4" t="s">
        <v>91</v>
      </c>
      <c r="K11" s="3" t="s">
        <v>53</v>
      </c>
      <c r="L11" s="3" t="s">
        <v>92</v>
      </c>
      <c r="M11" s="4" t="s">
        <v>93</v>
      </c>
    </row>
    <row r="12" spans="1:13" ht="45" customHeight="1">
      <c r="A12" s="3" t="s">
        <v>94</v>
      </c>
      <c r="B12" s="4" t="s">
        <v>95</v>
      </c>
      <c r="C12" s="3" t="s">
        <v>15</v>
      </c>
      <c r="D12" s="3" t="s">
        <v>16</v>
      </c>
      <c r="E12" s="4" t="s">
        <v>96</v>
      </c>
      <c r="F12" s="4" t="s">
        <v>97</v>
      </c>
      <c r="G12" s="4" t="s">
        <v>98</v>
      </c>
      <c r="H12" s="4" t="s">
        <v>50</v>
      </c>
      <c r="I12" s="4" t="s">
        <v>99</v>
      </c>
      <c r="J12" s="4" t="s">
        <v>100</v>
      </c>
      <c r="K12" s="3" t="s">
        <v>53</v>
      </c>
      <c r="L12" s="3" t="s">
        <v>101</v>
      </c>
      <c r="M12" s="4" t="s">
        <v>102</v>
      </c>
    </row>
    <row r="13" spans="1:13" ht="31.5" customHeight="1">
      <c r="A13" s="3" t="s">
        <v>103</v>
      </c>
      <c r="B13" s="4" t="s">
        <v>104</v>
      </c>
      <c r="C13" s="3" t="s">
        <v>15</v>
      </c>
      <c r="D13" s="3" t="s">
        <v>47</v>
      </c>
      <c r="E13" s="4" t="s">
        <v>105</v>
      </c>
      <c r="F13" s="4" t="s">
        <v>106</v>
      </c>
      <c r="G13" s="4" t="s">
        <v>107</v>
      </c>
      <c r="H13" s="4" t="s">
        <v>50</v>
      </c>
      <c r="I13" s="4" t="s">
        <v>108</v>
      </c>
      <c r="J13" s="4" t="s">
        <v>109</v>
      </c>
      <c r="K13" s="3" t="s">
        <v>23</v>
      </c>
      <c r="L13" s="3"/>
      <c r="M13" s="4"/>
    </row>
    <row r="14" spans="1:13" ht="31.5" customHeight="1">
      <c r="A14" s="3" t="s">
        <v>110</v>
      </c>
      <c r="B14" s="4" t="s">
        <v>104</v>
      </c>
      <c r="C14" s="3" t="s">
        <v>15</v>
      </c>
      <c r="D14" s="3" t="s">
        <v>33</v>
      </c>
      <c r="E14" s="4" t="s">
        <v>111</v>
      </c>
      <c r="F14" s="4" t="s">
        <v>112</v>
      </c>
      <c r="G14" s="4" t="s">
        <v>113</v>
      </c>
      <c r="H14" s="4" t="s">
        <v>50</v>
      </c>
      <c r="I14" s="4" t="s">
        <v>114</v>
      </c>
      <c r="J14" s="4" t="s">
        <v>115</v>
      </c>
      <c r="K14" s="3" t="s">
        <v>23</v>
      </c>
      <c r="L14" s="3"/>
      <c r="M14" s="4"/>
    </row>
    <row r="15" spans="1:13" ht="45" customHeight="1">
      <c r="A15" s="3" t="s">
        <v>116</v>
      </c>
      <c r="B15" s="4" t="s">
        <v>104</v>
      </c>
      <c r="C15" s="3" t="s">
        <v>25</v>
      </c>
      <c r="D15" s="3" t="s">
        <v>47</v>
      </c>
      <c r="E15" s="4" t="s">
        <v>117</v>
      </c>
      <c r="F15" s="4" t="s">
        <v>118</v>
      </c>
      <c r="G15" s="4" t="s">
        <v>119</v>
      </c>
      <c r="H15" s="4" t="s">
        <v>50</v>
      </c>
      <c r="I15" s="4" t="s">
        <v>120</v>
      </c>
      <c r="J15" s="4" t="s">
        <v>121</v>
      </c>
      <c r="K15" s="3" t="s">
        <v>23</v>
      </c>
      <c r="L15" s="3"/>
      <c r="M15" s="4"/>
    </row>
    <row r="16" spans="1:13" ht="45" customHeight="1">
      <c r="A16" s="3" t="s">
        <v>122</v>
      </c>
      <c r="B16" s="4" t="s">
        <v>123</v>
      </c>
      <c r="C16" s="3" t="s">
        <v>15</v>
      </c>
      <c r="D16" s="3" t="s">
        <v>33</v>
      </c>
      <c r="E16" s="4" t="s">
        <v>124</v>
      </c>
      <c r="F16" s="4" t="s">
        <v>73</v>
      </c>
      <c r="G16" s="4" t="s">
        <v>125</v>
      </c>
      <c r="H16" s="4" t="s">
        <v>50</v>
      </c>
      <c r="I16" s="4" t="s">
        <v>126</v>
      </c>
      <c r="J16" s="4" t="s">
        <v>127</v>
      </c>
      <c r="K16" s="3" t="s">
        <v>23</v>
      </c>
      <c r="L16" s="3"/>
      <c r="M16" s="4"/>
    </row>
    <row r="17" spans="1:13" ht="31.5" customHeight="1">
      <c r="A17" s="3" t="s">
        <v>128</v>
      </c>
      <c r="B17" s="4" t="s">
        <v>123</v>
      </c>
      <c r="C17" s="3" t="s">
        <v>46</v>
      </c>
      <c r="D17" s="3" t="s">
        <v>47</v>
      </c>
      <c r="E17" s="4" t="s">
        <v>129</v>
      </c>
      <c r="F17" s="4" t="s">
        <v>130</v>
      </c>
      <c r="G17" s="4" t="s">
        <v>131</v>
      </c>
      <c r="H17" s="4" t="s">
        <v>50</v>
      </c>
      <c r="I17" s="4" t="s">
        <v>132</v>
      </c>
      <c r="J17" s="4" t="s">
        <v>133</v>
      </c>
      <c r="K17" s="3" t="s">
        <v>53</v>
      </c>
      <c r="L17" s="3" t="s">
        <v>134</v>
      </c>
      <c r="M17" s="4" t="s">
        <v>135</v>
      </c>
    </row>
    <row r="18" spans="1:13" ht="31.5" customHeight="1">
      <c r="A18" s="3" t="s">
        <v>136</v>
      </c>
      <c r="B18" s="4" t="s">
        <v>123</v>
      </c>
      <c r="C18" s="3" t="s">
        <v>46</v>
      </c>
      <c r="D18" s="3" t="s">
        <v>47</v>
      </c>
      <c r="E18" s="4" t="s">
        <v>137</v>
      </c>
      <c r="F18" s="4" t="s">
        <v>73</v>
      </c>
      <c r="G18" s="4" t="s">
        <v>138</v>
      </c>
      <c r="H18" s="4" t="s">
        <v>50</v>
      </c>
      <c r="I18" s="4" t="s">
        <v>139</v>
      </c>
      <c r="J18" s="4" t="s">
        <v>140</v>
      </c>
      <c r="K18" s="3" t="s">
        <v>53</v>
      </c>
      <c r="L18" s="3" t="s">
        <v>141</v>
      </c>
      <c r="M18" s="4" t="s">
        <v>142</v>
      </c>
    </row>
    <row r="19" spans="1:13" ht="31.5" customHeight="1">
      <c r="A19" s="3" t="s">
        <v>143</v>
      </c>
      <c r="B19" s="4" t="s">
        <v>144</v>
      </c>
      <c r="C19" s="3" t="s">
        <v>15</v>
      </c>
      <c r="D19" s="3" t="s">
        <v>33</v>
      </c>
      <c r="E19" s="4" t="s">
        <v>145</v>
      </c>
      <c r="F19" s="4" t="s">
        <v>73</v>
      </c>
      <c r="G19" s="4" t="s">
        <v>146</v>
      </c>
      <c r="H19" s="4" t="s">
        <v>50</v>
      </c>
      <c r="I19" s="4" t="s">
        <v>147</v>
      </c>
      <c r="J19" s="4" t="s">
        <v>127</v>
      </c>
      <c r="K19" s="3" t="s">
        <v>23</v>
      </c>
      <c r="L19" s="3"/>
      <c r="M19" s="4"/>
    </row>
    <row r="20" spans="1:13" ht="31.5" customHeight="1">
      <c r="A20" s="3" t="s">
        <v>148</v>
      </c>
      <c r="B20" s="4" t="s">
        <v>144</v>
      </c>
      <c r="C20" s="3" t="s">
        <v>25</v>
      </c>
      <c r="D20" s="3" t="s">
        <v>47</v>
      </c>
      <c r="E20" s="4" t="s">
        <v>149</v>
      </c>
      <c r="F20" s="4" t="s">
        <v>150</v>
      </c>
      <c r="G20" s="4" t="s">
        <v>151</v>
      </c>
      <c r="H20" s="4" t="s">
        <v>152</v>
      </c>
      <c r="I20" s="4" t="s">
        <v>153</v>
      </c>
      <c r="J20" s="4" t="s">
        <v>154</v>
      </c>
      <c r="K20" s="3" t="s">
        <v>23</v>
      </c>
      <c r="L20" s="3"/>
      <c r="M20" s="4"/>
    </row>
    <row r="21" spans="1:13" ht="57.75" customHeight="1">
      <c r="A21" s="3" t="s">
        <v>155</v>
      </c>
      <c r="B21" s="4" t="s">
        <v>156</v>
      </c>
      <c r="C21" s="3" t="s">
        <v>15</v>
      </c>
      <c r="D21" s="3" t="s">
        <v>33</v>
      </c>
      <c r="E21" s="4" t="s">
        <v>157</v>
      </c>
      <c r="F21" s="4" t="s">
        <v>73</v>
      </c>
      <c r="G21" s="4" t="s">
        <v>158</v>
      </c>
      <c r="H21" s="4" t="s">
        <v>50</v>
      </c>
      <c r="I21" s="4" t="s">
        <v>159</v>
      </c>
      <c r="J21" s="4" t="s">
        <v>160</v>
      </c>
      <c r="K21" s="3" t="s">
        <v>53</v>
      </c>
      <c r="L21" s="3" t="s">
        <v>161</v>
      </c>
      <c r="M21" s="4" t="s">
        <v>162</v>
      </c>
    </row>
  </sheetData>
  <autoFilter ref="A1:M21"/>
  <conditionalFormatting sqref="K2:K21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"Not Executed"</formula>
    </cfRule>
  </conditionalFormatting>
  <dataValidations count="1">
    <dataValidation type="list" sqref="K2:K21">
      <formula1>"Pass,Fail,Not Executed,Blocked"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ColWidth="8.6328125" defaultRowHeight="14.5"/>
  <cols>
    <col min="1" max="1" width="24" style="1" customWidth="1"/>
    <col min="2" max="3" width="13" style="1" customWidth="1"/>
    <col min="4" max="5" width="13" customWidth="1"/>
  </cols>
  <sheetData>
    <row r="1" spans="1:3" ht="17.25" customHeight="1">
      <c r="A1" s="5" t="s">
        <v>163</v>
      </c>
    </row>
    <row r="2" spans="1:3" ht="15" customHeight="1">
      <c r="A2" s="6" t="s">
        <v>164</v>
      </c>
    </row>
    <row r="4" spans="1:3" ht="15" customHeight="1">
      <c r="A4" s="7" t="s">
        <v>10</v>
      </c>
      <c r="B4" s="7" t="s">
        <v>165</v>
      </c>
      <c r="C4" s="7" t="s">
        <v>166</v>
      </c>
    </row>
    <row r="5" spans="1:3" ht="15" customHeight="1">
      <c r="A5" s="8" t="s">
        <v>23</v>
      </c>
      <c r="B5" s="8">
        <f>COUNTIF('Test Cases'!$K$2:$K$21,A5)</f>
        <v>12</v>
      </c>
      <c r="C5" s="9">
        <f>B5/B9</f>
        <v>0.6</v>
      </c>
    </row>
    <row r="6" spans="1:3" ht="15" customHeight="1">
      <c r="A6" s="8" t="s">
        <v>53</v>
      </c>
      <c r="B6" s="8">
        <f>COUNTIF('Test Cases'!$K$2:$K$21,A6)</f>
        <v>8</v>
      </c>
      <c r="C6" s="9">
        <f>B6/B9</f>
        <v>0.4</v>
      </c>
    </row>
    <row r="7" spans="1:3" ht="15" customHeight="1">
      <c r="A7" s="8" t="s">
        <v>63</v>
      </c>
      <c r="B7" s="8">
        <f>COUNTIF('Test Cases'!$K$2:$K$21,A7)</f>
        <v>0</v>
      </c>
      <c r="C7" s="9">
        <f>B7/B9</f>
        <v>0</v>
      </c>
    </row>
    <row r="8" spans="1:3" ht="15" customHeight="1">
      <c r="A8" s="8" t="s">
        <v>167</v>
      </c>
      <c r="B8" s="8">
        <f>COUNTIF('Test Cases'!$K$2:$K$21,A8)</f>
        <v>0</v>
      </c>
      <c r="C8" s="9">
        <f>B8/B9</f>
        <v>0</v>
      </c>
    </row>
    <row r="9" spans="1:3" ht="15" customHeight="1">
      <c r="A9" s="10" t="s">
        <v>168</v>
      </c>
      <c r="B9" s="10">
        <f>SUM(B5:B8)</f>
        <v>20</v>
      </c>
      <c r="C9" s="11">
        <f>SUM(C5:C8)</f>
        <v>1</v>
      </c>
    </row>
    <row r="10" spans="1:3">
      <c r="A10" s="12" t="s">
        <v>169</v>
      </c>
      <c r="B10" s="13">
        <f>IFERROR(B5/(B5+B6),0)</f>
        <v>0.6</v>
      </c>
    </row>
    <row r="11" spans="1:3" ht="15" customHeight="1">
      <c r="A11" s="14" t="s">
        <v>170</v>
      </c>
      <c r="B11" s="14" t="s">
        <v>165</v>
      </c>
    </row>
    <row r="12" spans="1:3" ht="15" customHeight="1">
      <c r="A12" s="8" t="s">
        <v>15</v>
      </c>
      <c r="B12" s="8">
        <f>COUNTIF('Test Cases'!$C$2:$C$21,A12)</f>
        <v>11</v>
      </c>
    </row>
    <row r="13" spans="1:3" ht="15" customHeight="1">
      <c r="A13" s="8" t="s">
        <v>25</v>
      </c>
      <c r="B13" s="8">
        <f>COUNTIF('Test Cases'!$C$2:$C$21,A13)</f>
        <v>5</v>
      </c>
    </row>
    <row r="14" spans="1:3" ht="15" customHeight="1">
      <c r="A14" s="8" t="s">
        <v>46</v>
      </c>
      <c r="B14" s="8">
        <f>COUNTIF('Test Cases'!$C$2:$C$21,A14)</f>
        <v>4</v>
      </c>
    </row>
    <row r="16" spans="1:3">
      <c r="A16" s="15" t="s">
        <v>171</v>
      </c>
    </row>
    <row r="17" spans="1:5">
      <c r="A17" s="7" t="s">
        <v>1</v>
      </c>
      <c r="B17" s="7" t="s">
        <v>168</v>
      </c>
      <c r="C17" s="7" t="s">
        <v>23</v>
      </c>
      <c r="D17" s="7" t="s">
        <v>53</v>
      </c>
      <c r="E17" s="7" t="s">
        <v>63</v>
      </c>
    </row>
    <row r="18" spans="1:5">
      <c r="A18" s="16" t="s">
        <v>14</v>
      </c>
      <c r="B18" s="16">
        <f>COUNTIF('Test Cases'!$B$2:$B$21,A18)</f>
        <v>7</v>
      </c>
      <c r="C18" s="16">
        <f>COUNTIFS('Test Cases'!$B$2:$B$21,$A18,'Test Cases'!$K$2:$K$21,"Pass")</f>
        <v>5</v>
      </c>
      <c r="D18" s="16">
        <f>COUNTIFS('Test Cases'!$B$2:$B$21,$A18,'Test Cases'!$K$2:$K$21,"Fail")</f>
        <v>2</v>
      </c>
      <c r="E18" s="16">
        <f>COUNTIFS('Test Cases'!$B$2:$B$21,$A18,'Test Cases'!$K$2:$K$21,"Not Executed")</f>
        <v>0</v>
      </c>
    </row>
    <row r="19" spans="1:5">
      <c r="A19" s="16" t="s">
        <v>71</v>
      </c>
      <c r="B19" s="16">
        <f>COUNTIF('Test Cases'!$B$2:$B$21,A19)</f>
        <v>2</v>
      </c>
      <c r="C19" s="16">
        <f>COUNTIFS('Test Cases'!$B$2:$B$21,$A19,'Test Cases'!$K$2:$K$21,"Pass")</f>
        <v>1</v>
      </c>
      <c r="D19" s="16">
        <f>COUNTIFS('Test Cases'!$B$2:$B$21,$A19,'Test Cases'!$K$2:$K$21,"Fail")</f>
        <v>1</v>
      </c>
      <c r="E19" s="16">
        <f>COUNTIFS('Test Cases'!$B$2:$B$21,$A19,'Test Cases'!$K$2:$K$21,"Not Executed")</f>
        <v>0</v>
      </c>
    </row>
    <row r="20" spans="1:5">
      <c r="A20" s="16" t="s">
        <v>86</v>
      </c>
      <c r="B20" s="16">
        <f>COUNTIF('Test Cases'!$B$2:$B$21,A20)</f>
        <v>1</v>
      </c>
      <c r="C20" s="16">
        <f>COUNTIFS('Test Cases'!$B$2:$B$21,$A20,'Test Cases'!$K$2:$K$21,"Pass")</f>
        <v>0</v>
      </c>
      <c r="D20" s="16">
        <f>COUNTIFS('Test Cases'!$B$2:$B$21,$A20,'Test Cases'!$K$2:$K$21,"Fail")</f>
        <v>1</v>
      </c>
      <c r="E20" s="16">
        <f>COUNTIFS('Test Cases'!$B$2:$B$21,$A20,'Test Cases'!$K$2:$K$21,"Not Executed")</f>
        <v>0</v>
      </c>
    </row>
    <row r="21" spans="1:5">
      <c r="A21" s="16" t="s">
        <v>95</v>
      </c>
      <c r="B21" s="16">
        <f>COUNTIF('Test Cases'!$B$2:$B$21,A21)</f>
        <v>1</v>
      </c>
      <c r="C21" s="16">
        <f>COUNTIFS('Test Cases'!$B$2:$B$21,$A21,'Test Cases'!$K$2:$K$21,"Pass")</f>
        <v>0</v>
      </c>
      <c r="D21" s="16">
        <f>COUNTIFS('Test Cases'!$B$2:$B$21,$A21,'Test Cases'!$K$2:$K$21,"Fail")</f>
        <v>1</v>
      </c>
      <c r="E21" s="16">
        <f>COUNTIFS('Test Cases'!$B$2:$B$21,$A21,'Test Cases'!$K$2:$K$21,"Not Executed")</f>
        <v>0</v>
      </c>
    </row>
    <row r="22" spans="1:5">
      <c r="A22" s="16" t="s">
        <v>104</v>
      </c>
      <c r="B22" s="16">
        <f>COUNTIF('Test Cases'!$B$2:$B$21,A22)</f>
        <v>3</v>
      </c>
      <c r="C22" s="16">
        <f>COUNTIFS('Test Cases'!$B$2:$B$21,$A22,'Test Cases'!$K$2:$K$21,"Pass")</f>
        <v>3</v>
      </c>
      <c r="D22" s="16">
        <f>COUNTIFS('Test Cases'!$B$2:$B$21,$A22,'Test Cases'!$K$2:$K$21,"Fail")</f>
        <v>0</v>
      </c>
      <c r="E22" s="16">
        <f>COUNTIFS('Test Cases'!$B$2:$B$21,$A22,'Test Cases'!$K$2:$K$21,"Not Executed")</f>
        <v>0</v>
      </c>
    </row>
    <row r="23" spans="1:5">
      <c r="A23" s="16" t="s">
        <v>123</v>
      </c>
      <c r="B23" s="16">
        <f>COUNTIF('Test Cases'!$B$2:$B$21,A23)</f>
        <v>3</v>
      </c>
      <c r="C23" s="16">
        <f>COUNTIFS('Test Cases'!$B$2:$B$21,$A23,'Test Cases'!$K$2:$K$21,"Pass")</f>
        <v>1</v>
      </c>
      <c r="D23" s="16">
        <f>COUNTIFS('Test Cases'!$B$2:$B$21,$A23,'Test Cases'!$K$2:$K$21,"Fail")</f>
        <v>2</v>
      </c>
      <c r="E23" s="16">
        <f>COUNTIFS('Test Cases'!$B$2:$B$21,$A23,'Test Cases'!$K$2:$K$21,"Not Executed")</f>
        <v>0</v>
      </c>
    </row>
    <row r="24" spans="1:5">
      <c r="A24" s="16" t="s">
        <v>144</v>
      </c>
      <c r="B24" s="16">
        <f>COUNTIF('Test Cases'!$B$2:$B$21,A24)</f>
        <v>2</v>
      </c>
      <c r="C24" s="16">
        <f>COUNTIFS('Test Cases'!$B$2:$B$21,$A24,'Test Cases'!$K$2:$K$21,"Pass")</f>
        <v>2</v>
      </c>
      <c r="D24" s="16">
        <f>COUNTIFS('Test Cases'!$B$2:$B$21,$A24,'Test Cases'!$K$2:$K$21,"Fail")</f>
        <v>0</v>
      </c>
      <c r="E24" s="16">
        <f>COUNTIFS('Test Cases'!$B$2:$B$21,$A24,'Test Cases'!$K$2:$K$21,"Not Executed")</f>
        <v>0</v>
      </c>
    </row>
    <row r="25" spans="1:5">
      <c r="A25" s="16" t="s">
        <v>156</v>
      </c>
      <c r="B25" s="16">
        <f>COUNTIF('Test Cases'!$B$2:$B$21,A25)</f>
        <v>1</v>
      </c>
      <c r="C25" s="16">
        <f>COUNTIFS('Test Cases'!$B$2:$B$21,$A25,'Test Cases'!$K$2:$K$21,"Pass")</f>
        <v>0</v>
      </c>
      <c r="D25" s="16">
        <f>COUNTIFS('Test Cases'!$B$2:$B$21,$A25,'Test Cases'!$K$2:$K$21,"Fail")</f>
        <v>1</v>
      </c>
      <c r="E25" s="16">
        <f>COUNTIFS('Test Cases'!$B$2:$B$21,$A25,'Test Cases'!$K$2:$K$21,"Not Executed")</f>
        <v>0</v>
      </c>
    </row>
    <row r="26" spans="1:5">
      <c r="A26" s="17" t="s">
        <v>168</v>
      </c>
      <c r="B26" s="17">
        <f>SUM(B18:B25)</f>
        <v>20</v>
      </c>
      <c r="C26" s="17">
        <f>SUM(C18:C25)</f>
        <v>12</v>
      </c>
      <c r="D26" s="17">
        <f>SUM(D18:D25)</f>
        <v>8</v>
      </c>
      <c r="E26" s="17">
        <f>SUM(E18:E25)</f>
        <v>0</v>
      </c>
    </row>
    <row r="28" spans="1:5">
      <c r="A28" s="18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 0</cp:lastModifiedBy>
  <cp:revision>0</cp:revision>
  <dcterms:created xsi:type="dcterms:W3CDTF">2026-10-08T07:21:39Z</dcterms:created>
  <dcterms:modified xsi:type="dcterms:W3CDTF">2026-10-08T13:05:53Z</dcterms:modified>
  <dc:language>en-US</dc:language>
</cp:coreProperties>
</file>